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320" windowWidth="14980" windowHeight="6560"/>
  </bookViews>
  <sheets>
    <sheet name="att-tbl" sheetId="1" r:id="rId1"/>
    <sheet name="report- detail" sheetId="2" r:id="rId2"/>
    <sheet name="report- summ" sheetId="3" r:id="rId3"/>
    <sheet name="report- monthly" sheetId="4" r:id="rId4"/>
    <sheet name="report- yearly" sheetId="5" r:id="rId5"/>
  </sheets>
  <calcPr calcId="144525"/>
</workbook>
</file>

<file path=xl/calcChain.xml><?xml version="1.0" encoding="utf-8"?>
<calcChain xmlns="http://schemas.openxmlformats.org/spreadsheetml/2006/main">
  <c r="O3" i="5" l="1"/>
  <c r="O2" i="5"/>
  <c r="O3" i="4"/>
  <c r="O2" i="4"/>
</calcChain>
</file>

<file path=xl/sharedStrings.xml><?xml version="1.0" encoding="utf-8"?>
<sst xmlns="http://schemas.openxmlformats.org/spreadsheetml/2006/main" count="72" uniqueCount="36">
  <si>
    <t>id</t>
  </si>
  <si>
    <t>date</t>
  </si>
  <si>
    <t>month</t>
  </si>
  <si>
    <t>in time</t>
  </si>
  <si>
    <t>out time</t>
  </si>
  <si>
    <t>reg no</t>
  </si>
  <si>
    <t>name</t>
  </si>
  <si>
    <t>clas</t>
  </si>
  <si>
    <t>div</t>
  </si>
  <si>
    <t>roll no</t>
  </si>
  <si>
    <t>utsav</t>
  </si>
  <si>
    <t>II</t>
  </si>
  <si>
    <t>A</t>
  </si>
  <si>
    <t>07:14 AM - 12:30 PM</t>
  </si>
  <si>
    <t>07:04 AM - 12:32 PM</t>
  </si>
  <si>
    <t>ANSHUL</t>
  </si>
  <si>
    <t>srno</t>
  </si>
  <si>
    <t>class</t>
  </si>
  <si>
    <t>total student</t>
  </si>
  <si>
    <t>presnt count</t>
  </si>
  <si>
    <t>absent count</t>
  </si>
  <si>
    <t>I</t>
  </si>
  <si>
    <t>B</t>
  </si>
  <si>
    <t>roll n</t>
  </si>
  <si>
    <t>total present</t>
  </si>
  <si>
    <t>total absent</t>
  </si>
  <si>
    <t>total working days</t>
  </si>
  <si>
    <t>present %</t>
  </si>
  <si>
    <t>22/25</t>
  </si>
  <si>
    <t>21/25</t>
  </si>
  <si>
    <t>23/24</t>
  </si>
  <si>
    <t>20/25</t>
  </si>
  <si>
    <t>23/25</t>
  </si>
  <si>
    <t>01/14/2025</t>
  </si>
  <si>
    <t>in time notification flag
(0- pending, 1- send)</t>
  </si>
  <si>
    <t>out time notification flag
(0- pending, 1- send)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</si>
</sst>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4" sqref="E4"/>
    </sheetView>
  </sheetViews>
  <sheetFormatPr defaultRowHeight="14.5" x14ac:dyDescent="0.35"/>
  <cols>
    <col min="4" max="4" width="14.54296875" customWidth="1"/>
    <col min="6" max="6" width="22.81640625" customWidth="1"/>
    <col min="7" max="7" width="12.1796875" customWidth="1"/>
    <col min="8" max="8" width="23.36328125" customWidth="1"/>
  </cols>
  <sheetData>
    <row r="1" spans="1:8" ht="29" x14ac:dyDescent="0.35">
      <c r="A1" t="s">
        <v>0</v>
      </c>
      <c r="B1" t="s">
        <v>2</v>
      </c>
      <c r="C1" t="s">
        <v>5</v>
      </c>
      <c r="D1" t="s">
        <v>1</v>
      </c>
      <c r="E1" t="s">
        <v>3</v>
      </c>
      <c r="F1" s="4" t="s">
        <v>34</v>
      </c>
      <c r="G1" t="s">
        <v>4</v>
      </c>
      <c r="H1" s="4" t="s">
        <v>35</v>
      </c>
    </row>
    <row r="2" spans="1:8" x14ac:dyDescent="0.35">
      <c r="A2">
        <v>1</v>
      </c>
      <c r="B2">
        <v>4</v>
      </c>
      <c r="C2">
        <v>12</v>
      </c>
      <c r="D2" t="s">
        <v>33</v>
      </c>
      <c r="E2" s="5">
        <v>0.30138888888888887</v>
      </c>
      <c r="F2">
        <v>1</v>
      </c>
      <c r="G2" s="5">
        <v>0.52083333333333337</v>
      </c>
      <c r="H2">
        <v>1</v>
      </c>
    </row>
    <row r="3" spans="1:8" x14ac:dyDescent="0.35">
      <c r="A3">
        <v>2</v>
      </c>
      <c r="B3">
        <v>4</v>
      </c>
      <c r="C3">
        <v>13</v>
      </c>
      <c r="D3" t="s">
        <v>33</v>
      </c>
      <c r="E3" s="5">
        <v>0.3</v>
      </c>
      <c r="F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sqref="A1:E3"/>
    </sheetView>
  </sheetViews>
  <sheetFormatPr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</row>
    <row r="2" spans="1:6" x14ac:dyDescent="0.35">
      <c r="A2">
        <v>12</v>
      </c>
      <c r="B2" t="s">
        <v>10</v>
      </c>
      <c r="C2" t="s">
        <v>11</v>
      </c>
      <c r="D2" t="s">
        <v>12</v>
      </c>
      <c r="E2">
        <v>1</v>
      </c>
      <c r="F2" t="s">
        <v>13</v>
      </c>
    </row>
    <row r="3" spans="1:6" x14ac:dyDescent="0.35">
      <c r="A3">
        <v>13</v>
      </c>
      <c r="B3" t="s">
        <v>15</v>
      </c>
      <c r="C3" t="s">
        <v>11</v>
      </c>
      <c r="D3" t="s">
        <v>12</v>
      </c>
      <c r="E3">
        <v>2</v>
      </c>
      <c r="F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8" sqref="D18"/>
    </sheetView>
  </sheetViews>
  <sheetFormatPr defaultRowHeight="14.5" x14ac:dyDescent="0.35"/>
  <cols>
    <col min="4" max="6" width="13.81640625" customWidth="1"/>
  </cols>
  <sheetData>
    <row r="1" spans="1:6" x14ac:dyDescent="0.35">
      <c r="A1" s="1" t="s">
        <v>16</v>
      </c>
      <c r="B1" s="1" t="s">
        <v>17</v>
      </c>
      <c r="C1" s="1" t="s">
        <v>8</v>
      </c>
      <c r="D1" s="1" t="s">
        <v>18</v>
      </c>
      <c r="E1" s="1" t="s">
        <v>19</v>
      </c>
      <c r="F1" s="1" t="s">
        <v>20</v>
      </c>
    </row>
    <row r="2" spans="1:6" x14ac:dyDescent="0.35">
      <c r="A2" s="1">
        <v>1</v>
      </c>
      <c r="B2" s="1" t="s">
        <v>21</v>
      </c>
      <c r="C2" s="1" t="s">
        <v>12</v>
      </c>
      <c r="D2" s="1">
        <v>60</v>
      </c>
      <c r="E2" s="1">
        <v>55</v>
      </c>
      <c r="F2" s="1">
        <v>5</v>
      </c>
    </row>
    <row r="3" spans="1:6" x14ac:dyDescent="0.35">
      <c r="A3" s="1">
        <v>2</v>
      </c>
      <c r="B3" s="1" t="s">
        <v>21</v>
      </c>
      <c r="C3" s="1" t="s">
        <v>22</v>
      </c>
      <c r="D3" s="1">
        <v>60</v>
      </c>
      <c r="E3" s="1">
        <v>54</v>
      </c>
      <c r="F3" s="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E1" workbookViewId="0">
      <selection activeCell="L1" sqref="L1:O3"/>
    </sheetView>
  </sheetViews>
  <sheetFormatPr defaultRowHeight="14.5" x14ac:dyDescent="0.35"/>
  <cols>
    <col min="6" max="6" width="20.36328125" customWidth="1"/>
    <col min="12" max="15" width="14.81640625" customWidth="1"/>
  </cols>
  <sheetData>
    <row r="1" spans="1:15" x14ac:dyDescent="0.35">
      <c r="A1" t="s">
        <v>16</v>
      </c>
      <c r="B1" t="s">
        <v>6</v>
      </c>
      <c r="C1" t="s">
        <v>17</v>
      </c>
      <c r="D1" t="s">
        <v>8</v>
      </c>
      <c r="E1" t="s">
        <v>23</v>
      </c>
      <c r="F1" s="2">
        <v>46023</v>
      </c>
      <c r="G1" s="2">
        <v>46024</v>
      </c>
      <c r="H1" s="2">
        <v>46025</v>
      </c>
      <c r="K1" s="2">
        <v>46053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35">
      <c r="A2">
        <v>1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L2">
        <v>22</v>
      </c>
      <c r="M2">
        <v>3</v>
      </c>
      <c r="N2">
        <v>25</v>
      </c>
      <c r="O2">
        <f>(L2/N2)*100</f>
        <v>88</v>
      </c>
    </row>
    <row r="3" spans="1:15" x14ac:dyDescent="0.35">
      <c r="A3">
        <v>2</v>
      </c>
      <c r="B3" t="s">
        <v>15</v>
      </c>
      <c r="C3" t="s">
        <v>11</v>
      </c>
      <c r="D3" t="s">
        <v>12</v>
      </c>
      <c r="E3">
        <v>2</v>
      </c>
      <c r="F3" t="s">
        <v>14</v>
      </c>
      <c r="L3">
        <v>21</v>
      </c>
      <c r="M3">
        <v>4</v>
      </c>
      <c r="N3">
        <v>25</v>
      </c>
      <c r="O3">
        <f>(L3/N3)*100</f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A3" sqref="A3"/>
    </sheetView>
  </sheetViews>
  <sheetFormatPr defaultRowHeight="14.5" x14ac:dyDescent="0.35"/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s="3">
        <v>45748</v>
      </c>
      <c r="G1" s="3">
        <v>45778</v>
      </c>
      <c r="H1" s="3">
        <v>45809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35">
      <c r="A2">
        <v>12</v>
      </c>
      <c r="B2" t="s">
        <v>10</v>
      </c>
      <c r="C2" t="s">
        <v>11</v>
      </c>
      <c r="D2" t="s">
        <v>12</v>
      </c>
      <c r="E2">
        <v>1</v>
      </c>
      <c r="F2" t="s">
        <v>28</v>
      </c>
      <c r="G2" t="s">
        <v>29</v>
      </c>
      <c r="H2" t="s">
        <v>30</v>
      </c>
      <c r="L2">
        <v>220</v>
      </c>
      <c r="M2">
        <v>10</v>
      </c>
      <c r="N2">
        <v>230</v>
      </c>
      <c r="O2">
        <f>(L2/N2)*100</f>
        <v>95.652173913043484</v>
      </c>
    </row>
    <row r="3" spans="1:15" x14ac:dyDescent="0.35">
      <c r="A3">
        <v>13</v>
      </c>
      <c r="B3" t="s">
        <v>15</v>
      </c>
      <c r="C3" t="s">
        <v>11</v>
      </c>
      <c r="D3" t="s">
        <v>12</v>
      </c>
      <c r="E3">
        <v>2</v>
      </c>
      <c r="F3" t="s">
        <v>29</v>
      </c>
      <c r="G3" t="s">
        <v>31</v>
      </c>
      <c r="H3" t="s">
        <v>32</v>
      </c>
      <c r="L3">
        <v>211</v>
      </c>
      <c r="M3">
        <v>19</v>
      </c>
      <c r="N3">
        <v>230</v>
      </c>
      <c r="O3">
        <f>(L3/N3)*100</f>
        <v>91.739130434782609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att-tbl</vt:lpstr>
      <vt:lpstr>report- detail</vt:lpstr>
      <vt:lpstr>report- summ</vt:lpstr>
      <vt:lpstr>report- monthly</vt:lpstr>
      <vt:lpstr>report- yearly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2026-05-17T10:50:14Z</dcterms:created>
  <dcterms:modified xsi:type="dcterms:W3CDTF">2026-05-17T11:01:57Z</dcterms:modified>
</cp:coreProperties>
</file>